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25315f05280fd57/Desktop/"/>
    </mc:Choice>
  </mc:AlternateContent>
  <xr:revisionPtr revIDLastSave="0" documentId="8_{95C625D9-0C11-4695-8DA2-63E34F52B183}" xr6:coauthVersionLast="47" xr6:coauthVersionMax="47" xr10:uidLastSave="{00000000-0000-0000-0000-000000000000}"/>
  <bookViews>
    <workbookView xWindow="-110" yWindow="-110" windowWidth="19420" windowHeight="10300" activeTab="2" xr2:uid="{85AD6A3F-D1AC-4CE9-AEE8-379F52BFA910}"/>
  </bookViews>
  <sheets>
    <sheet name="تمرین ۱ حدول" sheetId="1" r:id="rId1"/>
    <sheet name="جدول اطلاعات (2)" sheetId="2" r:id="rId2"/>
    <sheet name="لیست حقوق" sheetId="3" r:id="rId3"/>
  </sheets>
  <definedNames>
    <definedName name="_xlnm.Print_Area" localSheetId="2">'لیست حقوق'!$A$1:$H$38</definedName>
  </definedName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18" i="3" l="1"/>
  <c r="H17" i="3"/>
  <c r="H16" i="3"/>
  <c r="H15" i="3"/>
  <c r="H3" i="3"/>
  <c r="H4" i="3"/>
  <c r="H5" i="3"/>
  <c r="H6" i="3"/>
  <c r="H7" i="3"/>
  <c r="H8" i="3"/>
  <c r="H9" i="3"/>
  <c r="H10" i="3"/>
  <c r="H11" i="3"/>
  <c r="H2" i="3"/>
  <c r="F8" i="2"/>
  <c r="F9" i="2"/>
  <c r="F7" i="2"/>
</calcChain>
</file>

<file path=xl/sharedStrings.xml><?xml version="1.0" encoding="utf-8"?>
<sst xmlns="http://schemas.openxmlformats.org/spreadsheetml/2006/main" count="74" uniqueCount="49">
  <si>
    <t>سن</t>
  </si>
  <si>
    <t>شهر</t>
  </si>
  <si>
    <t>تهران</t>
  </si>
  <si>
    <t>یاسوج</t>
  </si>
  <si>
    <t>تبریز</t>
  </si>
  <si>
    <t>ردیف</t>
  </si>
  <si>
    <t>حقوق</t>
  </si>
  <si>
    <t>میانگین حقوق</t>
  </si>
  <si>
    <t>جمع حقوق</t>
  </si>
  <si>
    <t>تعداد کارمندان</t>
  </si>
  <si>
    <t>نام</t>
  </si>
  <si>
    <t>احمد</t>
  </si>
  <si>
    <t>نام خانوادگی</t>
  </si>
  <si>
    <t>شماره پرسنلی</t>
  </si>
  <si>
    <t>واحد</t>
  </si>
  <si>
    <t>حقوق پایه</t>
  </si>
  <si>
    <t>اضافه کار</t>
  </si>
  <si>
    <t>کسر کار</t>
  </si>
  <si>
    <t>حقوق قابل پرداخت</t>
  </si>
  <si>
    <t>امین</t>
  </si>
  <si>
    <t>میلاد</t>
  </si>
  <si>
    <t>فرهاد</t>
  </si>
  <si>
    <t>نیما</t>
  </si>
  <si>
    <t>ناصری</t>
  </si>
  <si>
    <t>حسینی</t>
  </si>
  <si>
    <t>فنی</t>
  </si>
  <si>
    <t>اداری</t>
  </si>
  <si>
    <t>پشتیبانی</t>
  </si>
  <si>
    <t>فروش</t>
  </si>
  <si>
    <t>بازاریابی</t>
  </si>
  <si>
    <t>مجموع حقوق قابل پرداخت</t>
  </si>
  <si>
    <t>بیشترین حقوق</t>
  </si>
  <si>
    <t>کمترین حقوق</t>
  </si>
  <si>
    <t>محسن</t>
  </si>
  <si>
    <t>طاها</t>
  </si>
  <si>
    <t>نیکا</t>
  </si>
  <si>
    <t>تبریزی</t>
  </si>
  <si>
    <t>لاهیجان</t>
  </si>
  <si>
    <t>خدایی</t>
  </si>
  <si>
    <t>شاهی</t>
  </si>
  <si>
    <t>زیبا</t>
  </si>
  <si>
    <t>کامران</t>
  </si>
  <si>
    <t>بارور</t>
  </si>
  <si>
    <t>حسن حسینی</t>
  </si>
  <si>
    <t>اکبری</t>
  </si>
  <si>
    <t>حسین</t>
  </si>
  <si>
    <t>حسنی</t>
  </si>
  <si>
    <t>مهران</t>
  </si>
  <si>
    <t>مدیری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</si>
</sst>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ar-SA"/>
              <a:t>حقوق قابل پرداخت</a:t>
            </a:r>
            <a:r>
              <a:rPr lang="fa-IR"/>
              <a:t> برای هر کارمند</a:t>
            </a:r>
            <a:endParaRPr lang="ar-SA"/>
          </a:p>
        </c:rich>
      </c:tx>
      <c:layout>
        <c:manualLayout>
          <c:xMode val="edge"/>
          <c:yMode val="edge"/>
          <c:x val="0.27759934329196506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'لیست حقوق'!$H$1</c:f>
              <c:strCache>
                <c:ptCount val="1"/>
                <c:pt idx="0">
                  <c:v>حقوق قابل پرداخت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'لیست حقوق'!$C$2:$C$11</c:f>
              <c:strCache>
                <c:ptCount val="10"/>
                <c:pt idx="0">
                  <c:v>حسینی</c:v>
                </c:pt>
                <c:pt idx="1">
                  <c:v>حسینی</c:v>
                </c:pt>
                <c:pt idx="2">
                  <c:v>ناصری</c:v>
                </c:pt>
                <c:pt idx="3">
                  <c:v>حسنی</c:v>
                </c:pt>
                <c:pt idx="4">
                  <c:v>حسینی</c:v>
                </c:pt>
                <c:pt idx="5">
                  <c:v>تبریزی</c:v>
                </c:pt>
                <c:pt idx="6">
                  <c:v>بارور</c:v>
                </c:pt>
                <c:pt idx="7">
                  <c:v>حسن حسینی</c:v>
                </c:pt>
                <c:pt idx="8">
                  <c:v>اکبری</c:v>
                </c:pt>
                <c:pt idx="9">
                  <c:v>مدیری</c:v>
                </c:pt>
              </c:strCache>
            </c:strRef>
          </c:cat>
          <c:val>
            <c:numRef>
              <c:f>'لیست حقوق'!$H$2:$H$11</c:f>
              <c:numCache>
                <c:formatCode>General</c:formatCode>
                <c:ptCount val="10"/>
                <c:pt idx="0">
                  <c:v>28000000</c:v>
                </c:pt>
                <c:pt idx="1">
                  <c:v>32000000</c:v>
                </c:pt>
                <c:pt idx="2">
                  <c:v>39000000</c:v>
                </c:pt>
                <c:pt idx="3">
                  <c:v>29000000</c:v>
                </c:pt>
                <c:pt idx="4">
                  <c:v>34000000</c:v>
                </c:pt>
                <c:pt idx="5">
                  <c:v>25000000</c:v>
                </c:pt>
                <c:pt idx="6">
                  <c:v>13000000</c:v>
                </c:pt>
                <c:pt idx="7">
                  <c:v>17000000</c:v>
                </c:pt>
                <c:pt idx="8">
                  <c:v>27000000</c:v>
                </c:pt>
                <c:pt idx="9">
                  <c:v>35000000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67-4674-B2AD-83CA103B06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1406624"/>
        <c:axId val="141396544"/>
      </c:barChart>
      <c:catAx>
        <c:axId val="141406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a-IR" sz="1200"/>
                  <a:t>نام خانوادگی کارمندان</a:t>
                </a:r>
                <a:endParaRPr lang="en-US" sz="1200"/>
              </a:p>
            </c:rich>
          </c:tx>
          <c:layout>
            <c:manualLayout>
              <c:xMode val="edge"/>
              <c:yMode val="edge"/>
              <c:x val="0.4282224598468401"/>
              <c:y val="0.8858796296296296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396544"/>
        <c:crosses val="autoZero"/>
        <c:auto val="1"/>
        <c:lblAlgn val="ctr"/>
        <c:lblOffset val="100"/>
        <c:noMultiLvlLbl val="0"/>
      </c:catAx>
      <c:valAx>
        <c:axId val="141396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a-IR" sz="1200"/>
                  <a:t>حقوق</a:t>
                </a:r>
                <a:r>
                  <a:rPr lang="fa-IR" sz="1200" baseline="0"/>
                  <a:t> قابل پرداخت (تومان)</a:t>
                </a:r>
                <a:endParaRPr lang="en-US" sz="1200"/>
              </a:p>
            </c:rich>
          </c:tx>
          <c:layout>
            <c:manualLayout>
              <c:xMode val="edge"/>
              <c:yMode val="edge"/>
              <c:x val="1.9204389574759947E-2"/>
              <c:y val="0.1821883202099737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406624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3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889000</xdr:colOff>
      <xdr:row>21</xdr:row>
      <xdr:rowOff>36512</xdr:rowOff>
    </xdr:from>
    <xdr:to>
      <xdr:col>7</xdr:col>
      <xdr:colOff>60325</xdr:colOff>
      <xdr:row>36</xdr:row>
      <xdr:rowOff>31750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168E37C-D8A4-9628-6881-6265218551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58F3AA2-BDA8-46E8-9AE8-01F90B402759}" name="Table1" displayName="Table1" ref="A1:H18" totalsRowShown="0">
  <autoFilter ref="A1:H18" xr:uid="{258F3AA2-BDA8-46E8-9AE8-01F90B402759}"/>
  <tableColumns count="8">
    <tableColumn id="1" xr3:uid="{FEFA653C-71CC-49C5-AB67-D2DA6D4D4AE1}" name="شماره پرسنلی"/>
    <tableColumn id="2" xr3:uid="{17FA0B9C-8CF7-432B-91E3-CBDA6C9EF18F}" name="نام"/>
    <tableColumn id="3" xr3:uid="{5DE6BF7A-DC6B-4EB8-8E93-028EE51130CC}" name="نام خانوادگی"/>
    <tableColumn id="4" xr3:uid="{971CABAB-E61E-43F2-B98C-9862CC88BF92}" name="واحد"/>
    <tableColumn id="5" xr3:uid="{5F1F2D30-1C08-4038-BFFC-91945ABEAF03}" name="حقوق پایه"/>
    <tableColumn id="6" xr3:uid="{39BBD0F3-BBBD-4B18-B3CE-D06BF04E9BFC}" name="اضافه کار"/>
    <tableColumn id="7" xr3:uid="{5E500E18-7271-45C2-A875-5727507B69F7}" name="کسر کار"/>
    <tableColumn id="8" xr3:uid="{E48E8A30-136A-4E26-AB16-93FC654C497E}" name="حقوق قابل پرداخت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6473B-F5AD-4E75-B255-3CA60F6A7ED4}">
  <dimension ref="A1:E4"/>
  <sheetViews>
    <sheetView rightToLeft="1" workbookViewId="0">
      <selection activeCell="A5" sqref="A5"/>
    </sheetView>
  </sheetViews>
  <sheetFormatPr defaultRowHeight="14.5" x14ac:dyDescent="0.35"/>
  <cols>
    <col min="1" max="1" width="11" bestFit="1" customWidth="1"/>
    <col min="2" max="3" width="13.26953125" bestFit="1" customWidth="1"/>
    <col min="6" max="6" width="10" bestFit="1" customWidth="1"/>
  </cols>
  <sheetData>
    <row r="1" spans="1:5" x14ac:dyDescent="0.35">
      <c r="A1" t="s">
        <v>5</v>
      </c>
      <c r="B1" t="s">
        <v>10</v>
      </c>
      <c r="C1" t="s">
        <v>12</v>
      </c>
      <c r="D1" t="s">
        <v>0</v>
      </c>
      <c r="E1" t="s">
        <v>1</v>
      </c>
    </row>
    <row r="2" spans="1:5" x14ac:dyDescent="0.35">
      <c r="A2">
        <v>1</v>
      </c>
      <c r="B2" t="s">
        <v>33</v>
      </c>
      <c r="C2" t="s">
        <v>24</v>
      </c>
      <c r="D2">
        <v>25</v>
      </c>
      <c r="E2" t="s">
        <v>2</v>
      </c>
    </row>
    <row r="3" spans="1:5" x14ac:dyDescent="0.35">
      <c r="A3">
        <v>2</v>
      </c>
      <c r="B3" t="s">
        <v>34</v>
      </c>
      <c r="C3" t="s">
        <v>24</v>
      </c>
      <c r="D3">
        <v>20</v>
      </c>
      <c r="E3" t="s">
        <v>4</v>
      </c>
    </row>
    <row r="4" spans="1:5" x14ac:dyDescent="0.35">
      <c r="A4">
        <v>3</v>
      </c>
      <c r="B4" t="s">
        <v>35</v>
      </c>
      <c r="C4" t="s">
        <v>36</v>
      </c>
      <c r="D4">
        <v>16</v>
      </c>
      <c r="E4" t="s">
        <v>37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22728-8262-4462-9C6E-788054BA8519}">
  <dimension ref="A1:F9"/>
  <sheetViews>
    <sheetView rightToLeft="1" workbookViewId="0">
      <selection activeCell="F4" sqref="F4"/>
    </sheetView>
  </sheetViews>
  <sheetFormatPr defaultRowHeight="14.5" x14ac:dyDescent="0.35"/>
  <cols>
    <col min="1" max="1" width="11" bestFit="1" customWidth="1"/>
    <col min="2" max="3" width="13.26953125" bestFit="1" customWidth="1"/>
    <col min="6" max="6" width="10" bestFit="1" customWidth="1"/>
  </cols>
  <sheetData>
    <row r="1" spans="1:6" x14ac:dyDescent="0.35">
      <c r="A1" t="s">
        <v>5</v>
      </c>
      <c r="B1" t="s">
        <v>10</v>
      </c>
      <c r="C1" t="s">
        <v>12</v>
      </c>
      <c r="D1" t="s">
        <v>0</v>
      </c>
      <c r="E1" t="s">
        <v>1</v>
      </c>
      <c r="F1" t="s">
        <v>6</v>
      </c>
    </row>
    <row r="2" spans="1:6" x14ac:dyDescent="0.35">
      <c r="A2">
        <v>1</v>
      </c>
      <c r="B2" t="s">
        <v>33</v>
      </c>
      <c r="C2" t="s">
        <v>24</v>
      </c>
      <c r="D2">
        <v>52</v>
      </c>
      <c r="E2" t="s">
        <v>2</v>
      </c>
      <c r="F2">
        <v>350000000</v>
      </c>
    </row>
    <row r="3" spans="1:6" x14ac:dyDescent="0.35">
      <c r="A3">
        <v>2</v>
      </c>
      <c r="B3" t="s">
        <v>41</v>
      </c>
      <c r="C3" t="s">
        <v>38</v>
      </c>
      <c r="D3">
        <v>36</v>
      </c>
      <c r="E3" t="s">
        <v>3</v>
      </c>
      <c r="F3">
        <v>160000000</v>
      </c>
    </row>
    <row r="4" spans="1:6" x14ac:dyDescent="0.35">
      <c r="A4">
        <v>3</v>
      </c>
      <c r="B4" t="s">
        <v>40</v>
      </c>
      <c r="C4" t="s">
        <v>39</v>
      </c>
      <c r="D4">
        <v>15</v>
      </c>
      <c r="E4" t="s">
        <v>4</v>
      </c>
      <c r="F4">
        <v>300000000</v>
      </c>
    </row>
    <row r="7" spans="1:6" x14ac:dyDescent="0.35">
      <c r="A7" t="s">
        <v>7</v>
      </c>
      <c r="F7">
        <f>AVERAGE(F2:F4)</f>
        <v>270000000</v>
      </c>
    </row>
    <row r="8" spans="1:6" x14ac:dyDescent="0.35">
      <c r="A8" t="s">
        <v>8</v>
      </c>
      <c r="F8">
        <f>SUM(F2:F4)</f>
        <v>810000000</v>
      </c>
    </row>
    <row r="9" spans="1:6" x14ac:dyDescent="0.35">
      <c r="A9" t="s">
        <v>9</v>
      </c>
      <c r="F9">
        <f>COUNTA(A2:A4)</f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921B2-5995-4DBE-8D46-12915D17670A}">
  <dimension ref="A1:H18"/>
  <sheetViews>
    <sheetView rightToLeft="1" tabSelected="1" zoomScaleNormal="100" workbookViewId="0">
      <selection activeCell="D14" sqref="D14"/>
    </sheetView>
  </sheetViews>
  <sheetFormatPr defaultRowHeight="14.5" x14ac:dyDescent="0.35"/>
  <cols>
    <col min="1" max="1" width="21.1796875" customWidth="1"/>
    <col min="3" max="3" width="11.54296875" customWidth="1"/>
    <col min="5" max="5" width="10.54296875" customWidth="1"/>
    <col min="6" max="7" width="10.1796875" bestFit="1" customWidth="1"/>
    <col min="8" max="8" width="17.1796875" customWidth="1"/>
  </cols>
  <sheetData>
    <row r="1" spans="1:8" x14ac:dyDescent="0.35">
      <c r="A1" t="s">
        <v>13</v>
      </c>
      <c r="B1" t="s">
        <v>10</v>
      </c>
      <c r="C1" t="s">
        <v>12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</row>
    <row r="2" spans="1:8" x14ac:dyDescent="0.35">
      <c r="A2">
        <v>1104</v>
      </c>
      <c r="B2" t="s">
        <v>33</v>
      </c>
      <c r="C2" t="s">
        <v>24</v>
      </c>
      <c r="D2" t="s">
        <v>25</v>
      </c>
      <c r="E2" s="1">
        <v>25000000</v>
      </c>
      <c r="F2" s="1">
        <v>5000000</v>
      </c>
      <c r="G2" s="1">
        <v>2000000</v>
      </c>
      <c r="H2">
        <f>E2 + F2 - G2</f>
        <v>28000000</v>
      </c>
    </row>
    <row r="3" spans="1:8" x14ac:dyDescent="0.35">
      <c r="A3">
        <v>1236</v>
      </c>
      <c r="B3" t="s">
        <v>34</v>
      </c>
      <c r="C3" t="s">
        <v>24</v>
      </c>
      <c r="D3" t="s">
        <v>26</v>
      </c>
      <c r="E3" s="1">
        <v>30000000</v>
      </c>
      <c r="F3" s="1">
        <v>3000000</v>
      </c>
      <c r="G3" s="1">
        <v>1000000</v>
      </c>
      <c r="H3">
        <f t="shared" ref="H3:H11" si="0">E3 + F3 - G3</f>
        <v>32000000</v>
      </c>
    </row>
    <row r="4" spans="1:8" x14ac:dyDescent="0.35">
      <c r="A4">
        <v>1125</v>
      </c>
      <c r="B4" t="s">
        <v>11</v>
      </c>
      <c r="C4" t="s">
        <v>23</v>
      </c>
      <c r="D4" t="s">
        <v>26</v>
      </c>
      <c r="E4" s="1">
        <v>36000000</v>
      </c>
      <c r="F4" s="1">
        <v>6000000</v>
      </c>
      <c r="G4" s="1">
        <v>3000000</v>
      </c>
      <c r="H4">
        <f t="shared" si="0"/>
        <v>39000000</v>
      </c>
    </row>
    <row r="5" spans="1:8" x14ac:dyDescent="0.35">
      <c r="A5">
        <v>1254</v>
      </c>
      <c r="B5" t="s">
        <v>45</v>
      </c>
      <c r="C5" t="s">
        <v>46</v>
      </c>
      <c r="D5" t="s">
        <v>26</v>
      </c>
      <c r="E5" s="1">
        <v>27000000</v>
      </c>
      <c r="F5" s="1">
        <v>4000000</v>
      </c>
      <c r="G5" s="1">
        <v>2000000</v>
      </c>
      <c r="H5">
        <f t="shared" si="0"/>
        <v>29000000</v>
      </c>
    </row>
    <row r="6" spans="1:8" x14ac:dyDescent="0.35">
      <c r="A6">
        <v>1246</v>
      </c>
      <c r="B6" t="s">
        <v>19</v>
      </c>
      <c r="C6" t="s">
        <v>24</v>
      </c>
      <c r="D6" t="s">
        <v>25</v>
      </c>
      <c r="E6" s="1">
        <v>32000000</v>
      </c>
      <c r="F6" s="1">
        <v>7000000</v>
      </c>
      <c r="G6" s="1">
        <v>5000000</v>
      </c>
      <c r="H6">
        <f t="shared" si="0"/>
        <v>34000000</v>
      </c>
    </row>
    <row r="7" spans="1:8" x14ac:dyDescent="0.35">
      <c r="A7">
        <v>1326</v>
      </c>
      <c r="B7" t="s">
        <v>35</v>
      </c>
      <c r="C7" t="s">
        <v>36</v>
      </c>
      <c r="D7" t="s">
        <v>27</v>
      </c>
      <c r="E7" s="1">
        <v>23000000</v>
      </c>
      <c r="F7" s="1">
        <v>9000000</v>
      </c>
      <c r="G7" s="1">
        <v>7000000</v>
      </c>
      <c r="H7">
        <f t="shared" si="0"/>
        <v>25000000</v>
      </c>
    </row>
    <row r="8" spans="1:8" x14ac:dyDescent="0.35">
      <c r="A8">
        <v>1340</v>
      </c>
      <c r="B8" t="s">
        <v>20</v>
      </c>
      <c r="C8" t="s">
        <v>42</v>
      </c>
      <c r="D8" t="s">
        <v>28</v>
      </c>
      <c r="E8" s="1">
        <v>12000000</v>
      </c>
      <c r="F8" s="1">
        <v>2000000</v>
      </c>
      <c r="G8" s="1">
        <v>1000000</v>
      </c>
      <c r="H8">
        <f t="shared" si="0"/>
        <v>13000000</v>
      </c>
    </row>
    <row r="9" spans="1:8" x14ac:dyDescent="0.35">
      <c r="A9">
        <v>1453</v>
      </c>
      <c r="B9" t="s">
        <v>21</v>
      </c>
      <c r="C9" t="s">
        <v>43</v>
      </c>
      <c r="D9" t="s">
        <v>28</v>
      </c>
      <c r="E9" s="1">
        <v>16000000</v>
      </c>
      <c r="F9" s="1">
        <v>11000000</v>
      </c>
      <c r="G9" s="1">
        <v>10000000</v>
      </c>
      <c r="H9">
        <f t="shared" si="0"/>
        <v>17000000</v>
      </c>
    </row>
    <row r="10" spans="1:8" x14ac:dyDescent="0.35">
      <c r="A10">
        <v>1462</v>
      </c>
      <c r="B10" t="s">
        <v>22</v>
      </c>
      <c r="C10" t="s">
        <v>44</v>
      </c>
      <c r="D10" t="s">
        <v>27</v>
      </c>
      <c r="E10" s="1">
        <v>21000000</v>
      </c>
      <c r="F10" s="1">
        <v>12000000</v>
      </c>
      <c r="G10" s="1">
        <v>6000000</v>
      </c>
      <c r="H10">
        <f t="shared" si="0"/>
        <v>27000000</v>
      </c>
    </row>
    <row r="11" spans="1:8" x14ac:dyDescent="0.35">
      <c r="A11">
        <v>1423</v>
      </c>
      <c r="B11" t="s">
        <v>47</v>
      </c>
      <c r="C11" t="s">
        <v>48</v>
      </c>
      <c r="D11" t="s">
        <v>29</v>
      </c>
      <c r="E11" s="1">
        <v>33000000</v>
      </c>
      <c r="F11" s="1">
        <v>10000000</v>
      </c>
      <c r="G11" s="1">
        <v>8000000</v>
      </c>
      <c r="H11">
        <f t="shared" si="0"/>
        <v>35000000</v>
      </c>
    </row>
    <row r="15" spans="1:8" x14ac:dyDescent="0.35">
      <c r="A15" t="s">
        <v>30</v>
      </c>
      <c r="H15">
        <f>SUM(H2:H11)</f>
        <v>279000000</v>
      </c>
    </row>
    <row r="16" spans="1:8" x14ac:dyDescent="0.35">
      <c r="A16" t="s">
        <v>7</v>
      </c>
      <c r="H16">
        <f>AVERAGE(H2:H11)</f>
        <v>27900000</v>
      </c>
    </row>
    <row r="17" spans="1:8" x14ac:dyDescent="0.35">
      <c r="A17" t="s">
        <v>31</v>
      </c>
      <c r="H17">
        <f>MAX(H2:H11)</f>
        <v>39000000</v>
      </c>
    </row>
    <row r="18" spans="1:8" x14ac:dyDescent="0.35">
      <c r="A18" t="s">
        <v>32</v>
      </c>
      <c r="H18">
        <f>MIN(H2:H11)</f>
        <v>13000000</v>
      </c>
    </row>
  </sheetData>
  <conditionalFormatting sqref="H2:H11">
    <cfRule type="cellIs" dxfId="1" priority="2" operator="greaterThan">
      <formula>30000000</formula>
    </cfRule>
    <cfRule type="cellIs" dxfId="0" priority="1" operator="lessThan">
      <formula>30000000</formula>
    </cfRule>
  </conditionalFormatting>
  <pageMargins left="0.7" right="0.7" top="0.75" bottom="0.75" header="0.3" footer="0.3"/>
  <pageSetup scale="91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تمرین ۱ حدول</vt:lpstr>
      <vt:lpstr>جدول اطلاعات (2)</vt:lpstr>
      <vt:lpstr>لیست حقوق</vt:lpstr>
      <vt:lpstr>'لیست حقوق'!Print_Area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mehdi baghernejad</dc:creator>
  <cp:lastModifiedBy>Taha Hassan Hoseini</cp:lastModifiedBy>
  <cp:lastPrinted>2026-05-06T11:01:47Z</cp:lastPrinted>
  <dcterms:created xsi:type="dcterms:W3CDTF">2026-05-02T06:44:50Z</dcterms:created>
  <dcterms:modified xsi:type="dcterms:W3CDTF">2026-06-05T18:46:00Z</dcterms:modified>
</cp:coreProperties>
</file>